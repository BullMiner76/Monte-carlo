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8D6D182A761647/Documents/"/>
    </mc:Choice>
  </mc:AlternateContent>
  <xr:revisionPtr revIDLastSave="406" documentId="8_{5558E0C6-53DD-416A-8338-DCB6DBAAEF12}" xr6:coauthVersionLast="47" xr6:coauthVersionMax="47" xr10:uidLastSave="{A39E2C66-5B8B-448D-83C7-F43D9948AA62}"/>
  <bookViews>
    <workbookView xWindow="-120" yWindow="-120" windowWidth="51840" windowHeight="21120" activeTab="1" xr2:uid="{08E89F7E-D95A-4BA6-890C-1AE106FEBA8A}"/>
  </bookViews>
  <sheets>
    <sheet name="Inputs" sheetId="1" r:id="rId1"/>
    <sheet name="Sensitivity" sheetId="2" r:id="rId2"/>
    <sheet name="CostDecomp" sheetId="3" r:id="rId3"/>
  </sheets>
  <definedNames>
    <definedName name="AUD">Inputs!$B$4</definedName>
    <definedName name="Base_AISC">Inputs!$B$9</definedName>
    <definedName name="Capex_Index">CostDecomp!$F$10</definedName>
    <definedName name="Consumables_Index">CostDecomp!$F$7</definedName>
    <definedName name="Cost_Conf">Inputs!$B$13</definedName>
    <definedName name="CPI">Inputs!$B$6</definedName>
    <definedName name="Diesel_Price">CostDecomp!$F$4</definedName>
    <definedName name="FCF">Inputs!$B$23</definedName>
    <definedName name="Fed">Inputs!$B$3</definedName>
    <definedName name="Gold_USD">Inputs!$B$5</definedName>
    <definedName name="Grade_Recon">Inputs!$B$11</definedName>
    <definedName name="Jurisdiction">Inputs!$B$14</definedName>
    <definedName name="Margin">Inputs!$B$22</definedName>
    <definedName name="Power_Price">CostDecomp!$F$6</definedName>
    <definedName name="Prod_Oz">Inputs!$B$10</definedName>
    <definedName name="RBA">Inputs!$B$2</definedName>
    <definedName name="Recovery_Adj">Inputs!$B$12</definedName>
    <definedName name="Wage_Index">CostDecomp!$F$3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26" i="2" s="1"/>
  <c r="B18" i="1"/>
  <c r="G11" i="3"/>
  <c r="F8" i="3"/>
  <c r="B21" i="1"/>
  <c r="B20" i="1"/>
  <c r="G8" i="3"/>
  <c r="F11" i="3"/>
  <c r="G3" i="3"/>
  <c r="G10" i="3"/>
  <c r="G4" i="3"/>
  <c r="G5" i="3"/>
  <c r="G6" i="3"/>
  <c r="G7" i="3"/>
  <c r="C12" i="3"/>
  <c r="C11" i="3"/>
  <c r="C10" i="3"/>
  <c r="C4" i="3"/>
  <c r="C5" i="3"/>
  <c r="C6" i="3"/>
  <c r="C7" i="3"/>
  <c r="C8" i="3"/>
  <c r="C3" i="3"/>
  <c r="E11" i="3"/>
  <c r="B40" i="2"/>
  <c r="B39" i="2"/>
  <c r="B35" i="2"/>
  <c r="B5" i="2"/>
  <c r="C29" i="2" s="1"/>
  <c r="B4" i="2"/>
  <c r="C28" i="2" s="1"/>
  <c r="B19" i="1"/>
  <c r="B7" i="2" s="1"/>
  <c r="D26" i="2" l="1"/>
  <c r="D28" i="2"/>
  <c r="D29" i="2"/>
  <c r="C25" i="2"/>
  <c r="D25" i="2" s="1"/>
  <c r="C27" i="2"/>
  <c r="D27" i="2" s="1"/>
  <c r="B22" i="1"/>
  <c r="B41" i="2" s="1"/>
  <c r="B42" i="2" s="1"/>
  <c r="B6" i="2"/>
  <c r="B18" i="2" l="1"/>
  <c r="E18" i="2" s="1"/>
  <c r="B8" i="2"/>
  <c r="D31" i="2" s="1"/>
  <c r="B23" i="1"/>
  <c r="B15" i="2"/>
  <c r="E15" i="2" s="1"/>
  <c r="B9" i="2"/>
  <c r="B14" i="2"/>
  <c r="E14" i="2" s="1"/>
  <c r="B17" i="2"/>
  <c r="E17" i="2" s="1"/>
  <c r="B16" i="2"/>
  <c r="E16" i="2" s="1"/>
  <c r="B43" i="2"/>
  <c r="B44" i="2" s="1"/>
  <c r="B19" i="2" l="1"/>
  <c r="E19" i="2" s="1"/>
  <c r="D30" i="2"/>
  <c r="B20" i="2"/>
  <c r="E20" i="2" s="1"/>
  <c r="C20" i="2" s="1"/>
  <c r="C16" i="2" l="1"/>
  <c r="C19" i="2"/>
  <c r="C18" i="2"/>
  <c r="C15" i="2"/>
  <c r="C14" i="2"/>
  <c r="C17" i="2"/>
</calcChain>
</file>

<file path=xl/sharedStrings.xml><?xml version="1.0" encoding="utf-8"?>
<sst xmlns="http://schemas.openxmlformats.org/spreadsheetml/2006/main" count="112" uniqueCount="98">
  <si>
    <t>MACRO INPUTS</t>
  </si>
  <si>
    <t>RBA Rate</t>
  </si>
  <si>
    <t>Fed Rate</t>
  </si>
  <si>
    <t>AUD/USD</t>
  </si>
  <si>
    <t>Gold USD/oz</t>
  </si>
  <si>
    <t>CPI Annual %</t>
  </si>
  <si>
    <t>MINE PARAMETERS</t>
  </si>
  <si>
    <t>Production (oz)</t>
  </si>
  <si>
    <t>Grade Reconciliation</t>
  </si>
  <si>
    <t>Recovery Adjustment</t>
  </si>
  <si>
    <t>Cost Confidence</t>
  </si>
  <si>
    <t>Jurisdiction Probability</t>
  </si>
  <si>
    <t>Basic AISC (A$/oz)</t>
  </si>
  <si>
    <t>DERIVED OUTPUTS</t>
  </si>
  <si>
    <t>Gold AUD/oz</t>
  </si>
  <si>
    <t>Rate Spread</t>
  </si>
  <si>
    <t>AISC Adjusted</t>
  </si>
  <si>
    <t>Adj Production (oz)</t>
  </si>
  <si>
    <t>Margin (A$/oz)</t>
  </si>
  <si>
    <t>Annual FCF (A$)</t>
  </si>
  <si>
    <t>PARTIAL DERIVATIVES</t>
  </si>
  <si>
    <t>Variable</t>
  </si>
  <si>
    <t>∂Margin/∂x</t>
  </si>
  <si>
    <t>Units</t>
  </si>
  <si>
    <t>Interpretation</t>
  </si>
  <si>
    <t>A$ margin per US $1 gold</t>
  </si>
  <si>
    <t>Each US$1 rise in gold adds to this margin</t>
  </si>
  <si>
    <t>A$ margin per 0.01 AUD</t>
  </si>
  <si>
    <t>Negative = AUD Strength hurts margin for Aus co's</t>
  </si>
  <si>
    <t>CPI</t>
  </si>
  <si>
    <t>A$ margin per 1pp CPI</t>
  </si>
  <si>
    <t>Higher inflation raises costs</t>
  </si>
  <si>
    <t>Base AISC</t>
  </si>
  <si>
    <t>A$ margin per A$1 AISC</t>
  </si>
  <si>
    <t>Higher base cost = lower margin</t>
  </si>
  <si>
    <t>Cost confidence</t>
  </si>
  <si>
    <t>A$ margin per 0.01 confidence</t>
  </si>
  <si>
    <t>Increasing multiplier raises adj AISC</t>
  </si>
  <si>
    <t>Grade reconciliation</t>
  </si>
  <si>
    <t>A$ FCF per 0.01 grade recon</t>
  </si>
  <si>
    <t>Scales production proportionally</t>
  </si>
  <si>
    <t>Jurisdiction Prob</t>
  </si>
  <si>
    <t>A$ FCF per 0.01 jurisdiction</t>
  </si>
  <si>
    <t>Probability weight on total FCF</t>
  </si>
  <si>
    <t>ELASTICITY ANALYSIS</t>
  </si>
  <si>
    <t>Elasticity</t>
  </si>
  <si>
    <t>Meaning</t>
  </si>
  <si>
    <t>Rank</t>
  </si>
  <si>
    <t>Gold USD</t>
  </si>
  <si>
    <t>Jurisdiction</t>
  </si>
  <si>
    <t>ABS</t>
  </si>
  <si>
    <t>If elasticity is 1.4 that means a 1% change in the input causes a 1.4% change in the output</t>
  </si>
  <si>
    <t>DOLLAR IMPACT - REALISTIC MOVES</t>
  </si>
  <si>
    <t>Realistic Move</t>
  </si>
  <si>
    <t>Annual FCF Impact (A$)</t>
  </si>
  <si>
    <t>Margin Impact (A$/oz)</t>
  </si>
  <si>
    <t>Gold + US$200</t>
  </si>
  <si>
    <t>Gold - US$200</t>
  </si>
  <si>
    <t>AUD + 0.03</t>
  </si>
  <si>
    <t>AUD - 0.03</t>
  </si>
  <si>
    <t>CPI + 1pp</t>
  </si>
  <si>
    <t>Grade Recon 0.90</t>
  </si>
  <si>
    <t>N/A affects production</t>
  </si>
  <si>
    <t>Grade Recon 0.75</t>
  </si>
  <si>
    <t>CONVEXITY - SECOND DERIVATIVES</t>
  </si>
  <si>
    <t>∂²Margin/∂AUD²</t>
  </si>
  <si>
    <t>Positive = convex. AUD weakness helps more than AUD strength hurts by the same amount</t>
  </si>
  <si>
    <t>Convexity Test</t>
  </si>
  <si>
    <t>Margin if AUD falls 0.03</t>
  </si>
  <si>
    <t>Current margin</t>
  </si>
  <si>
    <t>Margin if AUD rises 0.03</t>
  </si>
  <si>
    <t>Gain from fall</t>
  </si>
  <si>
    <t>Loss from rise</t>
  </si>
  <si>
    <t>Asymmetry (A$/oz)</t>
  </si>
  <si>
    <t>AISC DECOMPOSITION</t>
  </si>
  <si>
    <t>Component</t>
  </si>
  <si>
    <t>Base A$/oz</t>
  </si>
  <si>
    <t>% of AISC</t>
  </si>
  <si>
    <t>Cost Driver</t>
  </si>
  <si>
    <t>Driver Base Value</t>
  </si>
  <si>
    <t>Driver Current Value</t>
  </si>
  <si>
    <t>Component Inflation</t>
  </si>
  <si>
    <t>Adjusted A$/oz</t>
  </si>
  <si>
    <t xml:space="preserve">Mining (Labour + equipment) </t>
  </si>
  <si>
    <t>WA Mining Wage Index</t>
  </si>
  <si>
    <t>Mining Energy (diesel)</t>
  </si>
  <si>
    <t>Diesel A$/L</t>
  </si>
  <si>
    <t>Processing Labour</t>
  </si>
  <si>
    <t>Processing Energy (power)</t>
  </si>
  <si>
    <t>Electricity A$/MWh</t>
  </si>
  <si>
    <t>Reagents &amp; Consumables</t>
  </si>
  <si>
    <t>Consumables Index</t>
  </si>
  <si>
    <t>Site G&amp;A</t>
  </si>
  <si>
    <t>Royalties (2.5% Revenue)</t>
  </si>
  <si>
    <t>Gold AUD Price</t>
  </si>
  <si>
    <t>Sustaining Capital</t>
  </si>
  <si>
    <t>Capex Inflation Index</t>
  </si>
  <si>
    <t>Corporate &amp;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</si>
</sst>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00%"/>
    <numFmt numFmtId="165" formatCode="_-&quot;$&quot;* #,##0_-;\-&quot;$&quot;* #,##0_-;_-&quot;$&quot;* &quot;-&quot;??_-;_-@_-"/>
    <numFmt numFmtId="166" formatCode="_-&quot;$&quot;* #,##0.000_-;\-&quot;$&quot;* #,##0.000_-;_-&quot;$&quot;* &quot;-&quot;??_-;_-@_-"/>
    <numFmt numFmtId="167" formatCode="_-* #,##0_-;\-* #,##0_-;_-* &quot;-&quot;??_-;_-@_-"/>
    <numFmt numFmtId="168" formatCode="_-* #,##0.00000_-;\-* #,##0.00000_-;_-* &quot;-&quot;??_-;_-@_-"/>
    <numFmt numFmtId="169" formatCode="#,##0;\(#,##0\)"/>
    <numFmt numFmtId="170" formatCode="0.0000"/>
    <numFmt numFmtId="171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165" fontId="0" fillId="0" borderId="0" xfId="2" applyNumberFormat="1" applyFont="1"/>
    <xf numFmtId="43" fontId="0" fillId="0" borderId="0" xfId="1" applyFont="1"/>
    <xf numFmtId="167" fontId="0" fillId="0" borderId="0" xfId="1" applyNumberFormat="1" applyFont="1"/>
    <xf numFmtId="164" fontId="3" fillId="0" borderId="0" xfId="3" applyNumberFormat="1" applyFont="1"/>
    <xf numFmtId="166" fontId="3" fillId="0" borderId="0" xfId="2" applyNumberFormat="1" applyFont="1"/>
    <xf numFmtId="165" fontId="3" fillId="0" borderId="0" xfId="2" applyNumberFormat="1" applyFont="1"/>
    <xf numFmtId="167" fontId="3" fillId="0" borderId="0" xfId="1" applyNumberFormat="1" applyFont="1"/>
    <xf numFmtId="43" fontId="3" fillId="0" borderId="0" xfId="1" applyFont="1"/>
    <xf numFmtId="168" fontId="0" fillId="0" borderId="0" xfId="1" applyNumberFormat="1" applyFont="1"/>
    <xf numFmtId="165" fontId="0" fillId="0" borderId="0" xfId="0" applyNumberFormat="1"/>
    <xf numFmtId="169" fontId="0" fillId="0" borderId="0" xfId="1" applyNumberFormat="1" applyFont="1"/>
    <xf numFmtId="170" fontId="0" fillId="0" borderId="0" xfId="0" applyNumberFormat="1"/>
    <xf numFmtId="0" fontId="3" fillId="0" borderId="0" xfId="0" applyFont="1"/>
    <xf numFmtId="9" fontId="0" fillId="0" borderId="0" xfId="3" applyFont="1"/>
    <xf numFmtId="10" fontId="0" fillId="0" borderId="0" xfId="3" applyNumberFormat="1" applyFont="1"/>
    <xf numFmtId="10" fontId="0" fillId="0" borderId="0" xfId="0" applyNumberFormat="1"/>
    <xf numFmtId="171" fontId="3" fillId="0" borderId="0" xfId="3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B9224-F080-47EC-8EBE-1DE714BFC6BC}">
  <dimension ref="A1:B23"/>
  <sheetViews>
    <sheetView zoomScale="190" zoomScaleNormal="190" workbookViewId="0">
      <selection activeCell="B4" sqref="B4"/>
    </sheetView>
  </sheetViews>
  <sheetFormatPr defaultRowHeight="15" x14ac:dyDescent="0.25"/>
  <cols>
    <col min="1" max="1" width="21" customWidth="1"/>
    <col min="2" max="2" width="13.85546875" bestFit="1" customWidth="1"/>
  </cols>
  <sheetData>
    <row r="1" spans="1:2" x14ac:dyDescent="0.25">
      <c r="A1" s="1" t="s">
        <v>0</v>
      </c>
    </row>
    <row r="2" spans="1:2" x14ac:dyDescent="0.25">
      <c r="A2" t="s">
        <v>1</v>
      </c>
      <c r="B2" s="5">
        <v>3.85E-2</v>
      </c>
    </row>
    <row r="3" spans="1:2" x14ac:dyDescent="0.25">
      <c r="A3" t="s">
        <v>2</v>
      </c>
      <c r="B3" s="5">
        <v>3.6249999999999998E-2</v>
      </c>
    </row>
    <row r="4" spans="1:2" x14ac:dyDescent="0.25">
      <c r="A4" t="s">
        <v>3</v>
      </c>
      <c r="B4" s="6">
        <v>0.73499999999999999</v>
      </c>
    </row>
    <row r="5" spans="1:2" x14ac:dyDescent="0.25">
      <c r="A5" t="s">
        <v>4</v>
      </c>
      <c r="B5" s="7">
        <v>4496</v>
      </c>
    </row>
    <row r="6" spans="1:2" x14ac:dyDescent="0.25">
      <c r="A6" t="s">
        <v>5</v>
      </c>
      <c r="B6" s="18">
        <v>3.7999999999999999E-2</v>
      </c>
    </row>
    <row r="8" spans="1:2" x14ac:dyDescent="0.25">
      <c r="A8" s="1" t="s">
        <v>6</v>
      </c>
    </row>
    <row r="9" spans="1:2" x14ac:dyDescent="0.25">
      <c r="A9" t="s">
        <v>12</v>
      </c>
      <c r="B9" s="8">
        <v>2400</v>
      </c>
    </row>
    <row r="10" spans="1:2" x14ac:dyDescent="0.25">
      <c r="A10" t="s">
        <v>7</v>
      </c>
      <c r="B10" s="8">
        <v>1000</v>
      </c>
    </row>
    <row r="11" spans="1:2" x14ac:dyDescent="0.25">
      <c r="A11" t="s">
        <v>8</v>
      </c>
      <c r="B11" s="9">
        <v>0.68</v>
      </c>
    </row>
    <row r="12" spans="1:2" x14ac:dyDescent="0.25">
      <c r="A12" t="s">
        <v>9</v>
      </c>
      <c r="B12" s="9">
        <v>0.95</v>
      </c>
    </row>
    <row r="13" spans="1:2" x14ac:dyDescent="0.25">
      <c r="A13" t="s">
        <v>10</v>
      </c>
      <c r="B13" s="9">
        <v>1</v>
      </c>
    </row>
    <row r="14" spans="1:2" x14ac:dyDescent="0.25">
      <c r="A14" t="s">
        <v>11</v>
      </c>
      <c r="B14" s="9">
        <v>1</v>
      </c>
    </row>
    <row r="17" spans="1:2" x14ac:dyDescent="0.25">
      <c r="A17" s="1" t="s">
        <v>13</v>
      </c>
    </row>
    <row r="18" spans="1:2" x14ac:dyDescent="0.25">
      <c r="A18" t="s">
        <v>14</v>
      </c>
      <c r="B18" s="2">
        <f>+Gold_USD/AUD</f>
        <v>6117.0068027210882</v>
      </c>
    </row>
    <row r="19" spans="1:2" x14ac:dyDescent="0.25">
      <c r="A19" t="s">
        <v>15</v>
      </c>
      <c r="B19" s="10">
        <f>+RBA-Fed</f>
        <v>2.250000000000002E-3</v>
      </c>
    </row>
    <row r="20" spans="1:2" x14ac:dyDescent="0.25">
      <c r="A20" t="s">
        <v>16</v>
      </c>
      <c r="B20" s="2">
        <f>+Base_AISC*Cost_Conf*(1+(CPI-0.025))</f>
        <v>2431.1999999999998</v>
      </c>
    </row>
    <row r="21" spans="1:2" x14ac:dyDescent="0.25">
      <c r="A21" t="s">
        <v>17</v>
      </c>
      <c r="B21" s="4">
        <f>+Prod_Oz*Grade_Recon*Recovery_Adj</f>
        <v>646</v>
      </c>
    </row>
    <row r="22" spans="1:2" x14ac:dyDescent="0.25">
      <c r="A22" t="s">
        <v>18</v>
      </c>
      <c r="B22" s="2">
        <f>+B18-B20</f>
        <v>3685.8068027210884</v>
      </c>
    </row>
    <row r="23" spans="1:2" x14ac:dyDescent="0.25">
      <c r="A23" t="s">
        <v>19</v>
      </c>
      <c r="B23" s="11">
        <f>+B22*B21*Jurisdiction</f>
        <v>2381031.1945578232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0114-07E2-4292-906A-E1765E0BCBA6}">
  <dimension ref="A1:E44"/>
  <sheetViews>
    <sheetView tabSelected="1" zoomScale="145" zoomScaleNormal="145" workbookViewId="0">
      <selection activeCell="B4" sqref="B4"/>
    </sheetView>
  </sheetViews>
  <sheetFormatPr defaultRowHeight="15" x14ac:dyDescent="0.25"/>
  <cols>
    <col min="1" max="1" width="20.7109375" bestFit="1" customWidth="1"/>
    <col min="2" max="2" width="16.140625" customWidth="1"/>
    <col min="3" max="3" width="26.42578125" customWidth="1"/>
    <col min="4" max="4" width="71" customWidth="1"/>
  </cols>
  <sheetData>
    <row r="1" spans="1:5" x14ac:dyDescent="0.25">
      <c r="A1" s="1" t="s">
        <v>20</v>
      </c>
    </row>
    <row r="2" spans="1:5" x14ac:dyDescent="0.25">
      <c r="A2" s="1" t="s">
        <v>21</v>
      </c>
      <c r="B2" s="1" t="s">
        <v>22</v>
      </c>
      <c r="C2" s="1" t="s">
        <v>23</v>
      </c>
      <c r="D2" s="1" t="s">
        <v>24</v>
      </c>
    </row>
    <row r="3" spans="1:5" x14ac:dyDescent="0.25">
      <c r="A3" t="s">
        <v>4</v>
      </c>
      <c r="B3">
        <f>1/AUD</f>
        <v>1.3605442176870748</v>
      </c>
      <c r="C3" t="s">
        <v>25</v>
      </c>
      <c r="D3" t="s">
        <v>26</v>
      </c>
    </row>
    <row r="4" spans="1:5" x14ac:dyDescent="0.25">
      <c r="A4" t="s">
        <v>3</v>
      </c>
      <c r="B4">
        <f>+-Gold_USD/(AUD^2)</f>
        <v>-8322.4582349946795</v>
      </c>
      <c r="C4" t="s">
        <v>27</v>
      </c>
      <c r="D4" t="s">
        <v>28</v>
      </c>
    </row>
    <row r="5" spans="1:5" x14ac:dyDescent="0.25">
      <c r="A5" t="s">
        <v>29</v>
      </c>
      <c r="B5">
        <f>+-Base_AISC*Cost_Conf</f>
        <v>-2400</v>
      </c>
      <c r="C5" t="s">
        <v>30</v>
      </c>
      <c r="D5" t="s">
        <v>31</v>
      </c>
    </row>
    <row r="6" spans="1:5" x14ac:dyDescent="0.25">
      <c r="A6" t="s">
        <v>32</v>
      </c>
      <c r="B6" s="13">
        <f>+-Cost_Conf*(1+(CPI-Inputs!B19))</f>
        <v>-1.0357499999999999</v>
      </c>
      <c r="C6" t="s">
        <v>33</v>
      </c>
      <c r="D6" t="s">
        <v>34</v>
      </c>
    </row>
    <row r="7" spans="1:5" x14ac:dyDescent="0.25">
      <c r="A7" t="s">
        <v>35</v>
      </c>
      <c r="B7">
        <f>-Base_AISC*(1+(CPI-Inputs!B19))</f>
        <v>-2485.7999999999997</v>
      </c>
      <c r="C7" t="s">
        <v>36</v>
      </c>
      <c r="D7" t="s">
        <v>37</v>
      </c>
    </row>
    <row r="8" spans="1:5" x14ac:dyDescent="0.25">
      <c r="A8" t="s">
        <v>38</v>
      </c>
      <c r="B8" s="3">
        <f>+Margin*Prod_Oz*Recovery_Adj*Jurisdiction</f>
        <v>3501516.4625850338</v>
      </c>
      <c r="C8" t="s">
        <v>39</v>
      </c>
      <c r="D8" t="s">
        <v>40</v>
      </c>
    </row>
    <row r="9" spans="1:5" x14ac:dyDescent="0.25">
      <c r="A9" t="s">
        <v>41</v>
      </c>
      <c r="B9">
        <f>+Margin*Prod_Oz*Grade_Recon*Recovery_Adj</f>
        <v>2381031.1945578232</v>
      </c>
      <c r="C9" t="s">
        <v>42</v>
      </c>
      <c r="D9" t="s">
        <v>43</v>
      </c>
    </row>
    <row r="12" spans="1:5" x14ac:dyDescent="0.25">
      <c r="A12" s="1" t="s">
        <v>44</v>
      </c>
    </row>
    <row r="13" spans="1:5" x14ac:dyDescent="0.25">
      <c r="A13" t="s">
        <v>21</v>
      </c>
      <c r="B13" t="s">
        <v>45</v>
      </c>
      <c r="C13" t="s">
        <v>47</v>
      </c>
      <c r="D13" t="s">
        <v>46</v>
      </c>
      <c r="E13" t="s">
        <v>50</v>
      </c>
    </row>
    <row r="14" spans="1:5" x14ac:dyDescent="0.25">
      <c r="A14" t="s">
        <v>48</v>
      </c>
      <c r="B14" s="3">
        <f>+B3*(Gold_USD/Margin)</f>
        <v>1.6596113497335616</v>
      </c>
      <c r="C14">
        <f>+RANK(E14,$E$14:$E$20,0)</f>
        <v>2</v>
      </c>
      <c r="D14" t="s">
        <v>51</v>
      </c>
      <c r="E14">
        <f>+ABS(B14)</f>
        <v>1.6596113497335616</v>
      </c>
    </row>
    <row r="15" spans="1:5" x14ac:dyDescent="0.25">
      <c r="A15" t="s">
        <v>3</v>
      </c>
      <c r="B15" s="3">
        <f>+B4*(AUD/Margin)</f>
        <v>-1.6596113497335618</v>
      </c>
      <c r="C15">
        <f t="shared" ref="C15:C20" si="0">+RANK(E15,$E$14:$E$20,0)</f>
        <v>1</v>
      </c>
      <c r="E15">
        <f t="shared" ref="E15:E20" si="1">+ABS(B15)</f>
        <v>1.6596113497335618</v>
      </c>
    </row>
    <row r="16" spans="1:5" x14ac:dyDescent="0.25">
      <c r="A16" t="s">
        <v>29</v>
      </c>
      <c r="B16" s="3">
        <f>+B5*(CPI/Margin)</f>
        <v>-2.4743564945582761E-2</v>
      </c>
      <c r="C16">
        <f t="shared" si="0"/>
        <v>7</v>
      </c>
      <c r="E16">
        <f t="shared" si="1"/>
        <v>2.4743564945582761E-2</v>
      </c>
    </row>
    <row r="17" spans="1:5" x14ac:dyDescent="0.25">
      <c r="A17" t="s">
        <v>32</v>
      </c>
      <c r="B17" s="3">
        <f>+B6*(Base_AISC/Margin)</f>
        <v>-0.67442493137861437</v>
      </c>
      <c r="C17">
        <f t="shared" si="0"/>
        <v>5</v>
      </c>
      <c r="E17">
        <f t="shared" si="1"/>
        <v>0.67442493137861437</v>
      </c>
    </row>
    <row r="18" spans="1:5" x14ac:dyDescent="0.25">
      <c r="A18" t="s">
        <v>10</v>
      </c>
      <c r="B18" s="3">
        <f>+B7*(Cost_Conf/Margin)</f>
        <v>-0.67442493137861437</v>
      </c>
      <c r="C18">
        <f t="shared" si="0"/>
        <v>5</v>
      </c>
      <c r="E18">
        <f t="shared" si="1"/>
        <v>0.67442493137861437</v>
      </c>
    </row>
    <row r="19" spans="1:5" x14ac:dyDescent="0.25">
      <c r="A19" t="s">
        <v>8</v>
      </c>
      <c r="B19" s="3">
        <f>+B8*(Grade_Recon/FCF)</f>
        <v>0.99999999999999989</v>
      </c>
      <c r="C19">
        <f t="shared" si="0"/>
        <v>4</v>
      </c>
      <c r="E19">
        <f t="shared" si="1"/>
        <v>0.99999999999999989</v>
      </c>
    </row>
    <row r="20" spans="1:5" x14ac:dyDescent="0.25">
      <c r="A20" t="s">
        <v>49</v>
      </c>
      <c r="B20" s="3">
        <f>+B9*(Jurisdiction/FCF)</f>
        <v>1</v>
      </c>
      <c r="C20">
        <f t="shared" si="0"/>
        <v>3</v>
      </c>
      <c r="E20">
        <f t="shared" si="1"/>
        <v>1</v>
      </c>
    </row>
    <row r="23" spans="1:5" x14ac:dyDescent="0.25">
      <c r="A23" s="1" t="s">
        <v>52</v>
      </c>
    </row>
    <row r="24" spans="1:5" x14ac:dyDescent="0.25">
      <c r="A24" t="s">
        <v>21</v>
      </c>
      <c r="B24" t="s">
        <v>53</v>
      </c>
      <c r="C24" t="s">
        <v>55</v>
      </c>
      <c r="D24" t="s">
        <v>54</v>
      </c>
    </row>
    <row r="25" spans="1:5" x14ac:dyDescent="0.25">
      <c r="A25" t="s">
        <v>56</v>
      </c>
      <c r="B25">
        <v>200</v>
      </c>
      <c r="C25" s="3">
        <f>+B3*B25</f>
        <v>272.10884353741494</v>
      </c>
      <c r="D25" s="4">
        <f>+C25*Inputs!B21*Jurisdiction</f>
        <v>175782.31292517006</v>
      </c>
    </row>
    <row r="26" spans="1:5" x14ac:dyDescent="0.25">
      <c r="A26" t="s">
        <v>57</v>
      </c>
      <c r="B26">
        <v>-200</v>
      </c>
      <c r="C26" s="3">
        <f>+B3*(B26)</f>
        <v>-272.10884353741494</v>
      </c>
      <c r="D26" s="12">
        <f>+C26*Inputs!B21*Jurisdiction</f>
        <v>-175782.31292517006</v>
      </c>
    </row>
    <row r="27" spans="1:5" x14ac:dyDescent="0.25">
      <c r="A27" t="s">
        <v>58</v>
      </c>
      <c r="B27">
        <v>0.03</v>
      </c>
      <c r="C27" s="3">
        <f>+B4*(B27)</f>
        <v>-249.67374704984039</v>
      </c>
      <c r="D27" s="12">
        <f>+C27*Inputs!$B$21*Jurisdiction</f>
        <v>-161289.24059419689</v>
      </c>
    </row>
    <row r="28" spans="1:5" x14ac:dyDescent="0.25">
      <c r="A28" t="s">
        <v>59</v>
      </c>
      <c r="B28">
        <v>-0.03</v>
      </c>
      <c r="C28" s="3">
        <f>+B4*(B28)</f>
        <v>249.67374704984039</v>
      </c>
      <c r="D28" s="4">
        <f>+C28*Inputs!$B$21*Jurisdiction</f>
        <v>161289.24059419689</v>
      </c>
    </row>
    <row r="29" spans="1:5" x14ac:dyDescent="0.25">
      <c r="A29" t="s">
        <v>60</v>
      </c>
      <c r="B29">
        <v>0.01</v>
      </c>
      <c r="C29">
        <f>+B5*B29</f>
        <v>-24</v>
      </c>
      <c r="D29" s="12">
        <f>+C29*Inputs!B21*Jurisdiction</f>
        <v>-15504</v>
      </c>
    </row>
    <row r="30" spans="1:5" x14ac:dyDescent="0.25">
      <c r="A30" t="s">
        <v>61</v>
      </c>
      <c r="B30">
        <v>-0.1</v>
      </c>
      <c r="C30" t="s">
        <v>62</v>
      </c>
      <c r="D30" s="12">
        <f>+B8*B30</f>
        <v>-350151.64625850343</v>
      </c>
    </row>
    <row r="31" spans="1:5" x14ac:dyDescent="0.25">
      <c r="A31" t="s">
        <v>63</v>
      </c>
      <c r="B31">
        <v>-0.25</v>
      </c>
      <c r="C31" t="s">
        <v>62</v>
      </c>
      <c r="D31" s="12">
        <f>+B8*(B31)</f>
        <v>-875379.11564625846</v>
      </c>
    </row>
    <row r="34" spans="1:2" x14ac:dyDescent="0.25">
      <c r="A34" s="1" t="s">
        <v>64</v>
      </c>
    </row>
    <row r="35" spans="1:2" x14ac:dyDescent="0.25">
      <c r="A35" t="s">
        <v>65</v>
      </c>
      <c r="B35">
        <f>2*Gold_USD/(AUD^3)</f>
        <v>22646.14485712838</v>
      </c>
    </row>
    <row r="36" spans="1:2" x14ac:dyDescent="0.25">
      <c r="A36" t="s">
        <v>24</v>
      </c>
      <c r="B36" t="s">
        <v>66</v>
      </c>
    </row>
    <row r="38" spans="1:2" x14ac:dyDescent="0.25">
      <c r="A38" s="1" t="s">
        <v>67</v>
      </c>
    </row>
    <row r="39" spans="1:2" x14ac:dyDescent="0.25">
      <c r="A39" t="s">
        <v>68</v>
      </c>
      <c r="B39" s="3">
        <f>+Gold_USD/(AUD-0.03)-Base_AISC*Cost_Conf*(1+(CPI-0.025))</f>
        <v>3946.1049645390076</v>
      </c>
    </row>
    <row r="40" spans="1:2" x14ac:dyDescent="0.25">
      <c r="A40" t="s">
        <v>70</v>
      </c>
      <c r="B40" s="3">
        <f>+Gold_USD/(AUD+0.03)-Base_AISC*Cost_Conf*(1+(CPI-0.025))</f>
        <v>3445.9241830065357</v>
      </c>
    </row>
    <row r="41" spans="1:2" x14ac:dyDescent="0.25">
      <c r="A41" t="s">
        <v>69</v>
      </c>
      <c r="B41" s="3">
        <f>+Margin</f>
        <v>3685.8068027210884</v>
      </c>
    </row>
    <row r="42" spans="1:2" x14ac:dyDescent="0.25">
      <c r="A42" t="s">
        <v>71</v>
      </c>
      <c r="B42" s="3">
        <f>+B39-B41</f>
        <v>260.29816181791921</v>
      </c>
    </row>
    <row r="43" spans="1:2" x14ac:dyDescent="0.25">
      <c r="A43" t="s">
        <v>72</v>
      </c>
      <c r="B43" s="3">
        <f>+B40-B41</f>
        <v>-239.88261971455267</v>
      </c>
    </row>
    <row r="44" spans="1:2" x14ac:dyDescent="0.25">
      <c r="A44" t="s">
        <v>73</v>
      </c>
      <c r="B44" s="3">
        <f>+B42+B43</f>
        <v>20.415542103366533</v>
      </c>
    </row>
  </sheetData>
  <conditionalFormatting sqref="B14:B2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25CD-4F76-4AC9-9C70-67A642D78236}">
  <dimension ref="A1:H12"/>
  <sheetViews>
    <sheetView zoomScale="175" zoomScaleNormal="175" workbookViewId="0">
      <selection activeCell="E4" sqref="E4"/>
    </sheetView>
  </sheetViews>
  <sheetFormatPr defaultRowHeight="15" x14ac:dyDescent="0.25"/>
  <cols>
    <col min="1" max="1" width="22.5703125" customWidth="1"/>
    <col min="2" max="2" width="10.5703125" bestFit="1" customWidth="1"/>
    <col min="3" max="3" width="9" bestFit="1" customWidth="1"/>
    <col min="4" max="5" width="20.42578125" customWidth="1"/>
    <col min="6" max="6" width="18.7109375" bestFit="1" customWidth="1"/>
    <col min="7" max="7" width="19.28515625" bestFit="1" customWidth="1"/>
    <col min="8" max="8" width="14.140625" bestFit="1" customWidth="1"/>
  </cols>
  <sheetData>
    <row r="1" spans="1:8" x14ac:dyDescent="0.25">
      <c r="A1" s="1" t="s">
        <v>74</v>
      </c>
    </row>
    <row r="2" spans="1:8" x14ac:dyDescent="0.25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</row>
    <row r="3" spans="1:8" x14ac:dyDescent="0.25">
      <c r="A3" t="s">
        <v>83</v>
      </c>
      <c r="B3">
        <v>770</v>
      </c>
      <c r="C3" s="16">
        <f>+B3/SUM($B$3:$B$8,$B$10:$B$11)</f>
        <v>0.36666666666666664</v>
      </c>
      <c r="D3" t="s">
        <v>84</v>
      </c>
      <c r="E3">
        <v>100</v>
      </c>
      <c r="F3" s="14">
        <v>100</v>
      </c>
      <c r="G3" s="17">
        <f>+(F3-E3)/E3</f>
        <v>0</v>
      </c>
    </row>
    <row r="4" spans="1:8" x14ac:dyDescent="0.25">
      <c r="A4" t="s">
        <v>85</v>
      </c>
      <c r="B4">
        <v>220</v>
      </c>
      <c r="C4" s="16">
        <f t="shared" ref="C4:C11" si="0">+B4/SUM($B$3:$B$8,$B$10:$B$11)</f>
        <v>0.10476190476190476</v>
      </c>
      <c r="D4" t="s">
        <v>86</v>
      </c>
      <c r="E4">
        <v>1.85</v>
      </c>
      <c r="F4" s="14">
        <v>1.85</v>
      </c>
      <c r="G4" s="17">
        <f t="shared" ref="G4:G11" si="1">+(F4-E4)/E4</f>
        <v>0</v>
      </c>
    </row>
    <row r="5" spans="1:8" x14ac:dyDescent="0.25">
      <c r="A5" t="s">
        <v>87</v>
      </c>
      <c r="B5">
        <v>200</v>
      </c>
      <c r="C5" s="16">
        <f t="shared" si="0"/>
        <v>9.5238095238095233E-2</v>
      </c>
      <c r="D5" t="s">
        <v>84</v>
      </c>
      <c r="E5">
        <v>100</v>
      </c>
      <c r="F5" s="14">
        <v>100</v>
      </c>
      <c r="G5" s="17">
        <f t="shared" si="1"/>
        <v>0</v>
      </c>
    </row>
    <row r="6" spans="1:8" x14ac:dyDescent="0.25">
      <c r="A6" t="s">
        <v>88</v>
      </c>
      <c r="B6">
        <v>180</v>
      </c>
      <c r="C6" s="16">
        <f t="shared" si="0"/>
        <v>8.5714285714285715E-2</v>
      </c>
      <c r="D6" t="s">
        <v>89</v>
      </c>
      <c r="E6">
        <v>85</v>
      </c>
      <c r="F6" s="14">
        <v>85</v>
      </c>
      <c r="G6" s="17">
        <f t="shared" si="1"/>
        <v>0</v>
      </c>
    </row>
    <row r="7" spans="1:8" x14ac:dyDescent="0.25">
      <c r="A7" t="s">
        <v>90</v>
      </c>
      <c r="B7">
        <v>130</v>
      </c>
      <c r="C7" s="16">
        <f t="shared" si="0"/>
        <v>6.1904761904761907E-2</v>
      </c>
      <c r="D7" t="s">
        <v>91</v>
      </c>
      <c r="E7">
        <v>100</v>
      </c>
      <c r="F7" s="14">
        <v>100</v>
      </c>
      <c r="G7" s="17">
        <f t="shared" si="1"/>
        <v>0</v>
      </c>
    </row>
    <row r="8" spans="1:8" x14ac:dyDescent="0.25">
      <c r="A8" t="s">
        <v>92</v>
      </c>
      <c r="B8">
        <v>180</v>
      </c>
      <c r="C8" s="16">
        <f t="shared" si="0"/>
        <v>8.5714285714285715E-2</v>
      </c>
      <c r="D8" t="s">
        <v>29</v>
      </c>
      <c r="E8">
        <v>100</v>
      </c>
      <c r="F8" s="14">
        <f>100*(1+(Inputs!B6-0.025))</f>
        <v>101.29999999999998</v>
      </c>
      <c r="G8" s="17">
        <f t="shared" si="1"/>
        <v>1.2999999999999829E-2</v>
      </c>
    </row>
    <row r="9" spans="1:8" x14ac:dyDescent="0.25">
      <c r="A9" t="s">
        <v>93</v>
      </c>
      <c r="C9" s="16"/>
      <c r="D9" t="s">
        <v>94</v>
      </c>
      <c r="G9" s="17"/>
    </row>
    <row r="10" spans="1:8" x14ac:dyDescent="0.25">
      <c r="A10" t="s">
        <v>95</v>
      </c>
      <c r="B10">
        <v>350</v>
      </c>
      <c r="C10" s="16">
        <f t="shared" si="0"/>
        <v>0.16666666666666666</v>
      </c>
      <c r="D10" t="s">
        <v>96</v>
      </c>
      <c r="E10">
        <v>100</v>
      </c>
      <c r="F10" s="14">
        <v>100</v>
      </c>
      <c r="G10" s="17">
        <f t="shared" si="1"/>
        <v>0</v>
      </c>
    </row>
    <row r="11" spans="1:8" x14ac:dyDescent="0.25">
      <c r="A11" t="s">
        <v>97</v>
      </c>
      <c r="B11">
        <v>70</v>
      </c>
      <c r="C11" s="16">
        <f t="shared" si="0"/>
        <v>3.3333333333333333E-2</v>
      </c>
      <c r="D11" t="s">
        <v>29</v>
      </c>
      <c r="E11">
        <f>+E8</f>
        <v>100</v>
      </c>
      <c r="F11" s="14">
        <f>+F8</f>
        <v>101.29999999999998</v>
      </c>
      <c r="G11" s="17">
        <f t="shared" si="1"/>
        <v>1.2999999999999829E-2</v>
      </c>
    </row>
    <row r="12" spans="1:8" x14ac:dyDescent="0.25">
      <c r="C12" s="15">
        <f>SUM(C3:C11)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18</vt:i4>
      </vt:variant>
    </vt:vector>
  </HeadingPairs>
  <TitlesOfParts>
    <vt:vector size="21" baseType="lpstr">
      <vt:lpstr>Inputs</vt:lpstr>
      <vt:lpstr>Sensitivity</vt:lpstr>
      <vt:lpstr>CostDecomp</vt:lpstr>
      <vt:lpstr>AUD</vt:lpstr>
      <vt:lpstr>Base_AISC</vt:lpstr>
      <vt:lpstr>Capex_Index</vt:lpstr>
      <vt:lpstr>Consumables_Index</vt:lpstr>
      <vt:lpstr>Cost_Conf</vt:lpstr>
      <vt:lpstr>CPI</vt:lpstr>
      <vt:lpstr>Diesel_Price</vt:lpstr>
      <vt:lpstr>FCF</vt:lpstr>
      <vt:lpstr>Fed</vt:lpstr>
      <vt:lpstr>Gold_USD</vt:lpstr>
      <vt:lpstr>Grade_Recon</vt:lpstr>
      <vt:lpstr>Jurisdiction</vt:lpstr>
      <vt:lpstr>Margin</vt:lpstr>
      <vt:lpstr>Power_Price</vt:lpstr>
      <vt:lpstr>Prod_Oz</vt:lpstr>
      <vt:lpstr>RBA</vt:lpstr>
      <vt:lpstr>Recovery_Adj</vt:lpstr>
      <vt:lpstr>Wage_Index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Barrett</dc:creator>
  <cp:lastModifiedBy>Sebastian Barrett</cp:lastModifiedBy>
  <dcterms:created xsi:type="dcterms:W3CDTF">2026-03-02T03:41:22Z</dcterms:created>
  <dcterms:modified xsi:type="dcterms:W3CDTF">2026-05-20T10:45:27Z</dcterms:modified>
</cp:coreProperties>
</file>